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astrid_pham_wur_nl/Documents/2-Covid_project/comma/parameters/"/>
    </mc:Choice>
  </mc:AlternateContent>
  <xr:revisionPtr revIDLastSave="694" documentId="11_FB9B840F9D01C616CF9B2795395BDA1636C8AB22" xr6:coauthVersionLast="47" xr6:coauthVersionMax="47" xr10:uidLastSave="{1F85EA8C-27CF-419C-9A4A-A7B339739992}"/>
  <bookViews>
    <workbookView xWindow="-108" yWindow="-108" windowWidth="22308" windowHeight="13176" activeTab="1" xr2:uid="{00000000-000D-0000-FFFF-FFFF00000000}"/>
  </bookViews>
  <sheets>
    <sheet name="actions_effects_on_contacts" sheetId="1" r:id="rId1"/>
    <sheet name="actions_effects_on_mh" sheetId="2" r:id="rId2"/>
    <sheet name="lockdown_absent" sheetId="3" r:id="rId3"/>
    <sheet name="lockdown_easy" sheetId="4" r:id="rId4"/>
    <sheet name="lockdown_medium" sheetId="6" r:id="rId5"/>
    <sheet name="lockdown_hard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4" l="1"/>
  <c r="AA6" i="6"/>
  <c r="X6" i="6"/>
  <c r="V6" i="6"/>
  <c r="T6" i="6"/>
  <c r="R6" i="6"/>
  <c r="P6" i="6"/>
  <c r="N6" i="6"/>
  <c r="K6" i="6"/>
  <c r="I6" i="6"/>
  <c r="E6" i="6"/>
  <c r="E6" i="4"/>
  <c r="I6" i="4"/>
  <c r="K6" i="4"/>
  <c r="N6" i="4"/>
  <c r="P6" i="4"/>
  <c r="R6" i="4"/>
  <c r="T6" i="4"/>
  <c r="V6" i="4"/>
  <c r="X6" i="4"/>
  <c r="AA6" i="4"/>
  <c r="AA9" i="4"/>
  <c r="X9" i="4"/>
  <c r="V9" i="4"/>
  <c r="T9" i="4"/>
  <c r="R9" i="4"/>
  <c r="P9" i="4"/>
  <c r="N9" i="4"/>
  <c r="K9" i="4"/>
  <c r="I9" i="4"/>
  <c r="E9" i="4"/>
  <c r="AA9" i="6"/>
  <c r="X9" i="6"/>
  <c r="V9" i="6"/>
  <c r="T9" i="6"/>
  <c r="R9" i="6"/>
  <c r="P9" i="6"/>
  <c r="N9" i="6"/>
  <c r="K9" i="6"/>
  <c r="I9" i="6"/>
  <c r="E9" i="6"/>
  <c r="AA9" i="5"/>
  <c r="X9" i="5"/>
  <c r="V9" i="5"/>
  <c r="T9" i="5"/>
  <c r="R9" i="5"/>
  <c r="P9" i="5"/>
  <c r="N9" i="5"/>
  <c r="K9" i="5"/>
  <c r="I9" i="5"/>
  <c r="E9" i="5"/>
  <c r="E5" i="5"/>
  <c r="I5" i="5"/>
  <c r="K5" i="5"/>
  <c r="N5" i="5"/>
  <c r="P5" i="5"/>
  <c r="R5" i="5"/>
  <c r="T5" i="5"/>
  <c r="V5" i="5"/>
  <c r="X5" i="5"/>
  <c r="AA5" i="5"/>
  <c r="E5" i="6"/>
  <c r="I5" i="6"/>
  <c r="K5" i="6"/>
  <c r="N5" i="6"/>
  <c r="P5" i="6"/>
  <c r="R5" i="6"/>
  <c r="T5" i="6"/>
  <c r="V5" i="6"/>
  <c r="X5" i="6"/>
  <c r="AA5" i="6"/>
  <c r="E5" i="4"/>
  <c r="I5" i="4"/>
  <c r="K5" i="4"/>
  <c r="N5" i="4"/>
  <c r="P5" i="4"/>
  <c r="R5" i="4"/>
  <c r="T5" i="4"/>
  <c r="V5" i="4"/>
  <c r="X5" i="4"/>
  <c r="AA5" i="4"/>
  <c r="AA3" i="6"/>
  <c r="X3" i="6"/>
  <c r="V3" i="6"/>
  <c r="T3" i="6"/>
  <c r="P3" i="6"/>
  <c r="N3" i="6"/>
  <c r="K3" i="6"/>
  <c r="I3" i="6"/>
  <c r="E3" i="6"/>
  <c r="AA3" i="4"/>
  <c r="X3" i="4"/>
  <c r="V3" i="4"/>
  <c r="T3" i="4"/>
  <c r="R3" i="4"/>
  <c r="P3" i="4"/>
  <c r="N3" i="4"/>
  <c r="K3" i="4"/>
  <c r="I3" i="4"/>
  <c r="E3" i="4"/>
  <c r="E2" i="5"/>
  <c r="E2" i="6"/>
  <c r="E2" i="4"/>
  <c r="I2" i="5"/>
  <c r="AA2" i="5"/>
  <c r="X2" i="5"/>
  <c r="V2" i="5"/>
  <c r="T2" i="5"/>
  <c r="R2" i="5"/>
  <c r="P2" i="5"/>
  <c r="N2" i="5"/>
  <c r="K2" i="5"/>
  <c r="AA2" i="6"/>
  <c r="X2" i="6"/>
  <c r="V2" i="6"/>
  <c r="T2" i="6"/>
  <c r="R2" i="6"/>
  <c r="P2" i="6"/>
  <c r="N2" i="6"/>
  <c r="K2" i="6"/>
  <c r="I2" i="6"/>
  <c r="AA2" i="4"/>
  <c r="V2" i="4"/>
  <c r="T2" i="4"/>
  <c r="R2" i="4"/>
  <c r="P2" i="4"/>
  <c r="N2" i="4"/>
  <c r="K2" i="4"/>
  <c r="I2" i="4"/>
</calcChain>
</file>

<file path=xl/sharedStrings.xml><?xml version="1.0" encoding="utf-8"?>
<sst xmlns="http://schemas.openxmlformats.org/spreadsheetml/2006/main" count="282" uniqueCount="74">
  <si>
    <t>actions</t>
  </si>
  <si>
    <t>baseline</t>
  </si>
  <si>
    <t>age_group__1</t>
  </si>
  <si>
    <t>age_group__2</t>
  </si>
  <si>
    <t>age_group__3</t>
  </si>
  <si>
    <t>age_group__4</t>
  </si>
  <si>
    <t>gender_M</t>
  </si>
  <si>
    <t>gender_F</t>
  </si>
  <si>
    <t>education_Low</t>
  </si>
  <si>
    <t>education_Medium</t>
  </si>
  <si>
    <t>education_High</t>
  </si>
  <si>
    <t>employed_No, other</t>
  </si>
  <si>
    <t>employed_No, seeking employment</t>
  </si>
  <si>
    <t>employed_Yes</t>
  </si>
  <si>
    <t>partnership_status_Single</t>
  </si>
  <si>
    <t>partnership_status_Married</t>
  </si>
  <si>
    <t>partnership_status_Live-in partner</t>
  </si>
  <si>
    <t>partnership_status_In relationship, no cohabitation</t>
  </si>
  <si>
    <t>partnership_status_Other</t>
  </si>
  <si>
    <t>pre_existing_depression</t>
  </si>
  <si>
    <t>pre_existing_burnout</t>
  </si>
  <si>
    <t>pre_existing_addiction</t>
  </si>
  <si>
    <t>pre_existing_chronic_fatigue</t>
  </si>
  <si>
    <t>parenthood</t>
  </si>
  <si>
    <t>living_with_child</t>
  </si>
  <si>
    <t>single_parent</t>
  </si>
  <si>
    <t>housing_difficulties_No</t>
  </si>
  <si>
    <t>housing_difficulties_Some</t>
  </si>
  <si>
    <t>housing_difficulties_Many</t>
  </si>
  <si>
    <t>finance_difficulties_No</t>
  </si>
  <si>
    <t>finance_difficulties_Some</t>
  </si>
  <si>
    <t>finance_difficulties_Many</t>
  </si>
  <si>
    <t>pre_existing_health_issues_No</t>
  </si>
  <si>
    <t>pre_existing_health_issues_Some</t>
  </si>
  <si>
    <t>pre_existing_health_issues_Many</t>
  </si>
  <si>
    <t>partner_difficulties_No</t>
  </si>
  <si>
    <t>partner_difficulties_Some</t>
  </si>
  <si>
    <t>partner_difficulties_Many</t>
  </si>
  <si>
    <t>partner_difficulties_Other</t>
  </si>
  <si>
    <t>job_type_white_collar</t>
  </si>
  <si>
    <t>job_type_medical_professional</t>
  </si>
  <si>
    <t>job_type_key_worker</t>
  </si>
  <si>
    <t>job_type_other</t>
  </si>
  <si>
    <t>area_urban</t>
  </si>
  <si>
    <t>area_rural</t>
  </si>
  <si>
    <t>ses_low</t>
  </si>
  <si>
    <t>ses_medium</t>
  </si>
  <si>
    <t>ses_high</t>
  </si>
  <si>
    <t>go_to_work</t>
  </si>
  <si>
    <t>maintain_physical_distance</t>
  </si>
  <si>
    <t>stay_at_home</t>
  </si>
  <si>
    <t>exercise</t>
  </si>
  <si>
    <t>socialise</t>
  </si>
  <si>
    <t>travel</t>
  </si>
  <si>
    <t>seek_help</t>
  </si>
  <si>
    <t>negative_coping</t>
  </si>
  <si>
    <t>positive_coping</t>
  </si>
  <si>
    <t>socialise_online</t>
  </si>
  <si>
    <t>work_from_home</t>
  </si>
  <si>
    <t>Depressed_yes</t>
  </si>
  <si>
    <t>Children_presence_yes</t>
  </si>
  <si>
    <t>Depressed_no</t>
  </si>
  <si>
    <t>Unemployed_yes</t>
  </si>
  <si>
    <t>Unemployed_no</t>
  </si>
  <si>
    <t>Have_partner_yes</t>
  </si>
  <si>
    <t>Have_partner_no</t>
  </si>
  <si>
    <t>Children_presence_no</t>
  </si>
  <si>
    <t>housing_finanicial_difficulties_yes</t>
  </si>
  <si>
    <t>housing_finanicial_difficulties_no</t>
  </si>
  <si>
    <t>selfrated_health_good</t>
  </si>
  <si>
    <t>selfrated_health_average</t>
  </si>
  <si>
    <t>selfrated_health_poor</t>
  </si>
  <si>
    <t>critical_job_yes</t>
  </si>
  <si>
    <t>critical_job_no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</si>
</sst>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"/>
  <sheetViews>
    <sheetView workbookViewId="0">
      <selection activeCell="B2" sqref="B2:B11"/>
    </sheetView>
  </sheetViews>
  <sheetFormatPr defaultRowHeight="14.4" x14ac:dyDescent="0.3"/>
  <cols>
    <col min="2" max="2" width="29.21875" customWidth="1"/>
  </cols>
  <sheetData>
    <row r="1" spans="1:4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">
      <c r="A2" s="1">
        <v>0</v>
      </c>
      <c r="B2" t="s">
        <v>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3">
      <c r="A3" s="1">
        <v>1</v>
      </c>
      <c r="B3" t="s">
        <v>49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3">
      <c r="A4" s="1">
        <v>2</v>
      </c>
      <c r="B4" t="s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">
      <c r="A5" s="1">
        <v>3</v>
      </c>
      <c r="B5" t="s">
        <v>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">
      <c r="A6" s="1">
        <v>4</v>
      </c>
      <c r="B6" t="s">
        <v>52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3">
      <c r="A7" s="1">
        <v>5</v>
      </c>
      <c r="B7" t="s">
        <v>53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">
      <c r="A8" s="1">
        <v>6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">
      <c r="A9" s="1">
        <v>7</v>
      </c>
      <c r="B9" t="s">
        <v>55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s="1">
        <v>8</v>
      </c>
      <c r="B10" t="s">
        <v>56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3">
      <c r="A11" s="1">
        <v>9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1"/>
  <sheetViews>
    <sheetView tabSelected="1" workbookViewId="0"/>
  </sheetViews>
  <sheetFormatPr defaultRowHeight="14.4" x14ac:dyDescent="0.3"/>
  <cols>
    <col min="2" max="2" width="17" customWidth="1"/>
  </cols>
  <sheetData>
    <row r="1" spans="1:4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">
      <c r="A2" s="1">
        <v>0</v>
      </c>
      <c r="B2" t="s">
        <v>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3">
      <c r="A3" s="1">
        <v>1</v>
      </c>
      <c r="B3" t="s">
        <v>49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3">
      <c r="A4" s="1">
        <v>2</v>
      </c>
      <c r="B4" t="s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">
      <c r="A5" s="1">
        <v>3</v>
      </c>
      <c r="B5" t="s">
        <v>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">
      <c r="A6" s="1">
        <v>4</v>
      </c>
      <c r="B6" t="s">
        <v>52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3">
      <c r="A7" s="1">
        <v>5</v>
      </c>
      <c r="B7" t="s">
        <v>53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">
      <c r="A8" s="1">
        <v>6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">
      <c r="A9" s="1">
        <v>7</v>
      </c>
      <c r="B9" t="s">
        <v>55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s="1">
        <v>8</v>
      </c>
      <c r="B10" t="s">
        <v>56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3">
      <c r="A11" s="1">
        <v>9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1"/>
  <sheetViews>
    <sheetView workbookViewId="0">
      <selection activeCell="H16" sqref="H16"/>
    </sheetView>
  </sheetViews>
  <sheetFormatPr defaultRowHeight="14.4" x14ac:dyDescent="0.3"/>
  <cols>
    <col min="4" max="7" width="13.109375" bestFit="1" customWidth="1"/>
    <col min="8" max="8" width="9.6640625" bestFit="1" customWidth="1"/>
    <col min="9" max="9" width="8.77734375" bestFit="1" customWidth="1"/>
    <col min="10" max="10" width="14" bestFit="1" customWidth="1"/>
    <col min="11" max="11" width="17.77734375" bestFit="1" customWidth="1"/>
    <col min="12" max="12" width="14.33203125" bestFit="1" customWidth="1"/>
    <col min="13" max="13" width="18.6640625" bestFit="1" customWidth="1"/>
    <col min="14" max="14" width="32" bestFit="1" customWidth="1"/>
  </cols>
  <sheetData>
    <row r="1" spans="1:4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">
      <c r="A2" s="1">
        <v>0</v>
      </c>
      <c r="B2" t="s">
        <v>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3">
      <c r="A3" s="1">
        <v>1</v>
      </c>
      <c r="B3" t="s">
        <v>49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3">
      <c r="A4" s="1">
        <v>2</v>
      </c>
      <c r="B4" t="s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">
      <c r="A5" s="1">
        <v>3</v>
      </c>
      <c r="B5" t="s">
        <v>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">
      <c r="A6" s="1">
        <v>4</v>
      </c>
      <c r="B6" t="s">
        <v>52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3">
      <c r="A7" s="1">
        <v>5</v>
      </c>
      <c r="B7" t="s">
        <v>53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">
      <c r="A8" s="1">
        <v>6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">
      <c r="A9" s="1">
        <v>7</v>
      </c>
      <c r="B9" t="s">
        <v>55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s="1">
        <v>8</v>
      </c>
      <c r="B10" t="s">
        <v>56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3">
      <c r="A11" s="1">
        <v>9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"/>
  <sheetViews>
    <sheetView zoomScaleNormal="10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C1" sqref="C1:AA1048576"/>
    </sheetView>
  </sheetViews>
  <sheetFormatPr defaultRowHeight="14.4" x14ac:dyDescent="0.3"/>
  <cols>
    <col min="2" max="2" width="12" style="2" customWidth="1"/>
    <col min="3" max="7" width="8.44140625" style="6" customWidth="1"/>
    <col min="8" max="8" width="8.88671875" style="6"/>
    <col min="9" max="9" width="7.5546875" style="6" customWidth="1"/>
    <col min="10" max="27" width="8.88671875" style="6"/>
  </cols>
  <sheetData>
    <row r="1" spans="1:27" s="2" customFormat="1" ht="57.6" x14ac:dyDescent="0.3">
      <c r="B1" s="3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62</v>
      </c>
      <c r="N1" s="9" t="s">
        <v>63</v>
      </c>
      <c r="O1" s="9" t="s">
        <v>64</v>
      </c>
      <c r="P1" s="9" t="s">
        <v>65</v>
      </c>
      <c r="Q1" s="9" t="s">
        <v>59</v>
      </c>
      <c r="R1" s="9" t="s">
        <v>61</v>
      </c>
      <c r="S1" s="9" t="s">
        <v>60</v>
      </c>
      <c r="T1" s="9" t="s">
        <v>66</v>
      </c>
      <c r="U1" s="9" t="s">
        <v>67</v>
      </c>
      <c r="V1" s="9" t="s">
        <v>68</v>
      </c>
      <c r="W1" s="9" t="s">
        <v>69</v>
      </c>
      <c r="X1" s="9" t="s">
        <v>70</v>
      </c>
      <c r="Y1" s="9" t="s">
        <v>71</v>
      </c>
      <c r="Z1" s="9" t="s">
        <v>72</v>
      </c>
      <c r="AA1" s="9" t="s">
        <v>73</v>
      </c>
    </row>
    <row r="2" spans="1:27" s="6" customFormat="1" ht="28.8" x14ac:dyDescent="0.3">
      <c r="A2" s="7">
        <v>0</v>
      </c>
      <c r="B2" s="8" t="s">
        <v>58</v>
      </c>
      <c r="C2" s="6">
        <v>-0.19</v>
      </c>
      <c r="D2" s="6">
        <v>0.04</v>
      </c>
      <c r="E2" s="6">
        <f>C2-D2-F2-G2</f>
        <v>-0.29000000000000004</v>
      </c>
      <c r="F2" s="6">
        <v>0.18</v>
      </c>
      <c r="G2" s="6">
        <v>-0.12</v>
      </c>
      <c r="H2" s="6">
        <v>7.0000000000000007E-2</v>
      </c>
      <c r="I2" s="6">
        <f>C2-H2</f>
        <v>-0.26</v>
      </c>
      <c r="J2" s="6">
        <v>-0.84</v>
      </c>
      <c r="K2" s="6">
        <f>C2-J2-L2</f>
        <v>-0.77</v>
      </c>
      <c r="L2" s="6">
        <v>1.42</v>
      </c>
      <c r="M2" s="6">
        <v>-0.09</v>
      </c>
      <c r="N2" s="6">
        <f>C2-M2</f>
        <v>-0.1</v>
      </c>
      <c r="O2" s="6">
        <v>0.17</v>
      </c>
      <c r="P2" s="6">
        <f>C2-O2</f>
        <v>-0.36</v>
      </c>
      <c r="Q2" s="6">
        <v>-1.0900000000000001</v>
      </c>
      <c r="R2" s="6">
        <f>C2-Q2</f>
        <v>0.90000000000000013</v>
      </c>
      <c r="S2" s="6">
        <v>-0.05</v>
      </c>
      <c r="T2" s="6">
        <f>C2-S2</f>
        <v>-0.14000000000000001</v>
      </c>
      <c r="U2" s="6">
        <v>0.06</v>
      </c>
      <c r="V2" s="6">
        <f>C2-U2</f>
        <v>-0.25</v>
      </c>
      <c r="W2" s="6">
        <v>-0.02</v>
      </c>
      <c r="X2" s="6">
        <f>C2-W2-Y2</f>
        <v>-0.16</v>
      </c>
      <c r="Y2" s="6">
        <v>-0.01</v>
      </c>
      <c r="Z2" s="6">
        <v>-1.1599999999999999</v>
      </c>
      <c r="AA2" s="6">
        <f>C2-Z2</f>
        <v>0.97</v>
      </c>
    </row>
    <row r="3" spans="1:27" s="6" customFormat="1" ht="43.2" x14ac:dyDescent="0.3">
      <c r="A3" s="7">
        <v>1</v>
      </c>
      <c r="B3" s="8" t="s">
        <v>49</v>
      </c>
      <c r="C3" s="6">
        <v>2.71</v>
      </c>
      <c r="D3" s="6">
        <v>0.15</v>
      </c>
      <c r="E3" s="6">
        <f>C3-D3-F3-G3</f>
        <v>1.4500000000000002</v>
      </c>
      <c r="F3" s="6">
        <v>0.21</v>
      </c>
      <c r="G3" s="6">
        <v>0.9</v>
      </c>
      <c r="H3" s="6">
        <v>-0.5</v>
      </c>
      <c r="I3" s="6">
        <f>C3-H3</f>
        <v>3.21</v>
      </c>
      <c r="J3" s="6">
        <v>-0.51</v>
      </c>
      <c r="K3" s="6">
        <f>C3-J3-L3</f>
        <v>2.57</v>
      </c>
      <c r="L3" s="6">
        <v>0.65</v>
      </c>
      <c r="M3" s="6">
        <v>-0.8</v>
      </c>
      <c r="N3" s="6">
        <f>C3-M3</f>
        <v>3.51</v>
      </c>
      <c r="O3" s="6">
        <v>0.55000000000000004</v>
      </c>
      <c r="P3" s="6">
        <f>C3-O3</f>
        <v>2.16</v>
      </c>
      <c r="Q3" s="6">
        <v>-0.71</v>
      </c>
      <c r="R3" s="6">
        <f>C3-Q3</f>
        <v>3.42</v>
      </c>
      <c r="S3" s="6">
        <v>0.13</v>
      </c>
      <c r="T3" s="6">
        <f>C3-S3</f>
        <v>2.58</v>
      </c>
      <c r="U3" s="6">
        <v>-0.3</v>
      </c>
      <c r="V3" s="6">
        <f>C3-U3</f>
        <v>3.01</v>
      </c>
      <c r="W3" s="6">
        <v>0.48</v>
      </c>
      <c r="X3" s="6">
        <f>C3-W3-Y3</f>
        <v>2.69</v>
      </c>
      <c r="Y3" s="6">
        <v>-0.46</v>
      </c>
      <c r="Z3" s="6">
        <v>0.18</v>
      </c>
      <c r="AA3" s="6">
        <f>C3-Z3</f>
        <v>2.5299999999999998</v>
      </c>
    </row>
    <row r="4" spans="1:27" ht="28.8" x14ac:dyDescent="0.3">
      <c r="A4" s="4">
        <v>2</v>
      </c>
      <c r="B4" s="5" t="s">
        <v>50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</row>
    <row r="5" spans="1:27" x14ac:dyDescent="0.3">
      <c r="A5" s="1">
        <v>3</v>
      </c>
      <c r="B5" s="2" t="s">
        <v>51</v>
      </c>
      <c r="C5" s="6">
        <v>0.3</v>
      </c>
      <c r="D5" s="6">
        <v>-0.56999999999999995</v>
      </c>
      <c r="E5" s="6">
        <f>C5-D5-F5-G5</f>
        <v>1.1599999999999997</v>
      </c>
      <c r="F5" s="6">
        <v>-0.37</v>
      </c>
      <c r="G5" s="6">
        <v>0.08</v>
      </c>
      <c r="H5" s="6">
        <v>0.03</v>
      </c>
      <c r="I5" s="6">
        <f>C5-H5</f>
        <v>0.27</v>
      </c>
      <c r="J5" s="6">
        <v>-0.2</v>
      </c>
      <c r="K5" s="6">
        <f>C5-J5-L5</f>
        <v>0.35</v>
      </c>
      <c r="L5" s="6">
        <v>0.15</v>
      </c>
      <c r="M5" s="6">
        <v>0.68</v>
      </c>
      <c r="N5" s="6">
        <f>C5-M5</f>
        <v>-0.38000000000000006</v>
      </c>
      <c r="O5" s="6">
        <v>0.25</v>
      </c>
      <c r="P5" s="6">
        <f>C5-O5</f>
        <v>4.9999999999999989E-2</v>
      </c>
      <c r="Q5" s="6">
        <v>-0.59</v>
      </c>
      <c r="R5" s="6">
        <f>C5-Q5</f>
        <v>0.8899999999999999</v>
      </c>
      <c r="S5" s="6">
        <v>-0.06</v>
      </c>
      <c r="T5" s="6">
        <f>C5-S5</f>
        <v>0.36</v>
      </c>
      <c r="U5" s="6">
        <v>-0.1</v>
      </c>
      <c r="V5" s="6">
        <f>C5-U5</f>
        <v>0.4</v>
      </c>
      <c r="W5" s="6">
        <v>0.33</v>
      </c>
      <c r="X5" s="6">
        <f>C5-W5-Y5</f>
        <v>0.43999999999999995</v>
      </c>
      <c r="Y5" s="6">
        <v>-0.47</v>
      </c>
      <c r="Z5" s="6">
        <v>-7.0000000000000007E-2</v>
      </c>
      <c r="AA5" s="6">
        <f>C5-Z5</f>
        <v>0.37</v>
      </c>
    </row>
    <row r="6" spans="1:27" x14ac:dyDescent="0.3">
      <c r="A6" s="1">
        <v>4</v>
      </c>
      <c r="B6" s="2" t="s">
        <v>52</v>
      </c>
      <c r="C6" s="6">
        <v>1.83</v>
      </c>
      <c r="D6" s="6">
        <v>-0.65</v>
      </c>
      <c r="E6" s="6">
        <f>C6-D6-F6-G6</f>
        <v>2.1399999999999997</v>
      </c>
      <c r="F6" s="6">
        <v>-0.19</v>
      </c>
      <c r="G6" s="6">
        <v>0.53</v>
      </c>
      <c r="H6" s="6">
        <v>-0.1</v>
      </c>
      <c r="I6" s="6">
        <f>C6-H6</f>
        <v>1.9300000000000002</v>
      </c>
      <c r="J6" s="6">
        <v>0.16</v>
      </c>
      <c r="K6" s="6">
        <f>C6-J6-L6</f>
        <v>1.2600000000000002</v>
      </c>
      <c r="L6" s="6">
        <v>0.41</v>
      </c>
      <c r="M6" s="6">
        <v>-0.17</v>
      </c>
      <c r="N6" s="6">
        <f>C6-M6</f>
        <v>2</v>
      </c>
      <c r="O6" s="6">
        <v>-0.08</v>
      </c>
      <c r="P6" s="6">
        <f>C6-O6</f>
        <v>1.9100000000000001</v>
      </c>
      <c r="Q6" s="6">
        <v>-0.18</v>
      </c>
      <c r="R6" s="6">
        <f>C6-Q6</f>
        <v>2.0100000000000002</v>
      </c>
      <c r="S6" s="6">
        <v>0.16</v>
      </c>
      <c r="T6" s="6">
        <f>C6-S6</f>
        <v>1.6700000000000002</v>
      </c>
      <c r="U6" s="6">
        <v>-0.08</v>
      </c>
      <c r="V6" s="6">
        <f>C6-U6</f>
        <v>1.9100000000000001</v>
      </c>
      <c r="W6" s="6">
        <v>7.0000000000000007E-2</v>
      </c>
      <c r="X6" s="6">
        <f>C6-W6-Y6</f>
        <v>2.2800000000000002</v>
      </c>
      <c r="Y6" s="6">
        <v>-0.52</v>
      </c>
      <c r="Z6" s="6">
        <v>0.1</v>
      </c>
      <c r="AA6" s="6">
        <f>C6-Z6</f>
        <v>1.73</v>
      </c>
    </row>
    <row r="7" spans="1:27" x14ac:dyDescent="0.3">
      <c r="A7" s="4">
        <v>5</v>
      </c>
      <c r="B7" s="5" t="s">
        <v>53</v>
      </c>
    </row>
    <row r="8" spans="1:27" x14ac:dyDescent="0.3">
      <c r="A8" s="4">
        <v>6</v>
      </c>
      <c r="B8" s="5" t="s">
        <v>54</v>
      </c>
    </row>
    <row r="9" spans="1:27" ht="28.8" x14ac:dyDescent="0.3">
      <c r="A9" s="1">
        <v>7</v>
      </c>
      <c r="B9" s="2" t="s">
        <v>55</v>
      </c>
      <c r="C9" s="6">
        <v>1.5</v>
      </c>
      <c r="D9" s="6">
        <v>0.79</v>
      </c>
      <c r="E9" s="6">
        <f>C9-D9-F9-G9</f>
        <v>0.27</v>
      </c>
      <c r="F9" s="6">
        <v>0.21</v>
      </c>
      <c r="G9" s="6">
        <v>0.23</v>
      </c>
      <c r="H9" s="6">
        <v>0.45</v>
      </c>
      <c r="I9" s="6">
        <f>C9-H9</f>
        <v>1.05</v>
      </c>
      <c r="J9" s="6">
        <v>0.37</v>
      </c>
      <c r="K9" s="6">
        <f>C9-J9-L9</f>
        <v>1.45</v>
      </c>
      <c r="L9" s="6">
        <v>-0.32</v>
      </c>
      <c r="M9" s="6">
        <v>0.02</v>
      </c>
      <c r="N9" s="6">
        <f>C9-M9</f>
        <v>1.48</v>
      </c>
      <c r="O9" s="6">
        <v>-0.06</v>
      </c>
      <c r="P9" s="6">
        <f>C9-O9</f>
        <v>1.56</v>
      </c>
      <c r="Q9" s="6">
        <v>0</v>
      </c>
      <c r="R9" s="6">
        <f>C9-Q9</f>
        <v>1.5</v>
      </c>
      <c r="S9" s="6">
        <v>0.22</v>
      </c>
      <c r="T9" s="6">
        <f>C9-S9</f>
        <v>1.28</v>
      </c>
      <c r="U9" s="6">
        <v>-0.3</v>
      </c>
      <c r="V9" s="6">
        <f>C9-U9</f>
        <v>1.8</v>
      </c>
      <c r="W9" s="6">
        <v>-0.2</v>
      </c>
      <c r="X9" s="6">
        <f>C9-W9-Y9</f>
        <v>1.56</v>
      </c>
      <c r="Y9" s="6">
        <v>0.14000000000000001</v>
      </c>
      <c r="Z9" s="6">
        <v>0.38</v>
      </c>
      <c r="AA9" s="6">
        <f>C9-Z9</f>
        <v>1.1200000000000001</v>
      </c>
    </row>
    <row r="10" spans="1:27" ht="28.8" x14ac:dyDescent="0.3">
      <c r="A10" s="4">
        <v>8</v>
      </c>
      <c r="B10" s="5" t="s">
        <v>56</v>
      </c>
    </row>
    <row r="11" spans="1:27" ht="28.8" x14ac:dyDescent="0.3">
      <c r="A11" s="4">
        <v>9</v>
      </c>
      <c r="B11" s="5" t="s">
        <v>57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1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3" sqref="G13"/>
    </sheetView>
  </sheetViews>
  <sheetFormatPr defaultRowHeight="14.4" x14ac:dyDescent="0.3"/>
  <cols>
    <col min="2" max="2" width="12" style="2" customWidth="1"/>
    <col min="3" max="7" width="8.44140625" customWidth="1"/>
    <col min="9" max="9" width="7.5546875" customWidth="1"/>
  </cols>
  <sheetData>
    <row r="1" spans="1:27" s="2" customFormat="1" ht="57.6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59</v>
      </c>
      <c r="R1" s="3" t="s">
        <v>61</v>
      </c>
      <c r="S1" s="3" t="s">
        <v>60</v>
      </c>
      <c r="T1" s="3" t="s">
        <v>66</v>
      </c>
      <c r="U1" s="3" t="s">
        <v>67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  <c r="AA1" s="3" t="s">
        <v>73</v>
      </c>
    </row>
    <row r="2" spans="1:27" s="6" customFormat="1" ht="28.8" x14ac:dyDescent="0.3">
      <c r="A2" s="7">
        <v>0</v>
      </c>
      <c r="B2" s="8" t="s">
        <v>58</v>
      </c>
      <c r="C2" s="6">
        <v>-0.3</v>
      </c>
      <c r="D2" s="6">
        <v>0.11</v>
      </c>
      <c r="E2" s="6">
        <f>C2-D2-F2-G2</f>
        <v>-0.16999999999999998</v>
      </c>
      <c r="F2" s="6">
        <v>0.2</v>
      </c>
      <c r="G2" s="6">
        <v>-0.44</v>
      </c>
      <c r="H2" s="6">
        <v>0.45</v>
      </c>
      <c r="I2" s="6">
        <f>C2-H2</f>
        <v>-0.75</v>
      </c>
      <c r="J2" s="10">
        <v>-0.59</v>
      </c>
      <c r="K2" s="6">
        <f>C2-J2-L2</f>
        <v>-0.7</v>
      </c>
      <c r="L2" s="6">
        <v>0.99</v>
      </c>
      <c r="M2" s="6">
        <v>-0.11</v>
      </c>
      <c r="N2" s="6">
        <f>C2-M2</f>
        <v>-0.19</v>
      </c>
      <c r="O2" s="6">
        <v>7.0000000000000007E-2</v>
      </c>
      <c r="P2" s="6">
        <f>C2-O2</f>
        <v>-0.37</v>
      </c>
      <c r="Q2" s="6">
        <v>-1.23</v>
      </c>
      <c r="R2" s="6">
        <f>C2-Q2</f>
        <v>0.92999999999999994</v>
      </c>
      <c r="S2" s="6">
        <v>-0.18</v>
      </c>
      <c r="T2" s="6">
        <f>C2-S2</f>
        <v>-0.12</v>
      </c>
      <c r="U2" s="6">
        <v>-0.16</v>
      </c>
      <c r="V2" s="6">
        <f>C2-U2</f>
        <v>-0.13999999999999999</v>
      </c>
      <c r="W2" s="6">
        <v>0.16</v>
      </c>
      <c r="X2" s="6">
        <f>C2-W2-Y2</f>
        <v>-0.43999999999999995</v>
      </c>
      <c r="Y2" s="6">
        <v>-0.02</v>
      </c>
      <c r="Z2" s="6">
        <v>-1.37</v>
      </c>
      <c r="AA2" s="6">
        <f>C2-Z2</f>
        <v>1.07</v>
      </c>
    </row>
    <row r="3" spans="1:27" s="6" customFormat="1" ht="43.2" x14ac:dyDescent="0.3">
      <c r="A3" s="7">
        <v>1</v>
      </c>
      <c r="B3" s="8" t="s">
        <v>49</v>
      </c>
      <c r="C3" s="6">
        <v>4.58</v>
      </c>
      <c r="D3" s="6">
        <v>-1.1499999999999999</v>
      </c>
      <c r="E3" s="6">
        <f>C3-D3-F3-G3</f>
        <v>5.91</v>
      </c>
      <c r="F3" s="6">
        <v>-0.94</v>
      </c>
      <c r="G3" s="6">
        <v>0.76</v>
      </c>
      <c r="H3" s="6">
        <v>-0.96</v>
      </c>
      <c r="I3" s="6">
        <f>C3-H3</f>
        <v>5.54</v>
      </c>
      <c r="J3" s="6">
        <v>0.43</v>
      </c>
      <c r="K3" s="6">
        <f>C3-J3-L3</f>
        <v>2.7600000000000007</v>
      </c>
      <c r="L3" s="6">
        <v>1.39</v>
      </c>
      <c r="M3" s="6">
        <v>-0.96</v>
      </c>
      <c r="N3" s="6">
        <f>C3-M3</f>
        <v>5.54</v>
      </c>
      <c r="O3" s="6">
        <v>0.97</v>
      </c>
      <c r="P3" s="6">
        <f>C3-O3</f>
        <v>3.6100000000000003</v>
      </c>
      <c r="Q3" s="6">
        <v>0</v>
      </c>
      <c r="R3" s="6">
        <v>0</v>
      </c>
      <c r="S3" s="6">
        <v>-0.38</v>
      </c>
      <c r="T3" s="6">
        <f>C3-S3</f>
        <v>4.96</v>
      </c>
      <c r="U3" s="6">
        <v>-0.65</v>
      </c>
      <c r="V3" s="6">
        <f>C3-U3</f>
        <v>5.23</v>
      </c>
      <c r="W3" s="6">
        <v>-0.53</v>
      </c>
      <c r="X3" s="6">
        <f>C3-W3-Y3</f>
        <v>5.1000000000000005</v>
      </c>
      <c r="Y3" s="6">
        <v>0.01</v>
      </c>
      <c r="Z3" s="6">
        <v>-0.6</v>
      </c>
      <c r="AA3" s="6">
        <f>C3-Z3</f>
        <v>5.18</v>
      </c>
    </row>
    <row r="4" spans="1:27" ht="28.8" x14ac:dyDescent="0.3">
      <c r="A4" s="4">
        <v>2</v>
      </c>
      <c r="B4" s="5" t="s">
        <v>50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3">
      <c r="A5" s="1">
        <v>3</v>
      </c>
      <c r="B5" s="2" t="s">
        <v>51</v>
      </c>
      <c r="C5" s="6">
        <v>-0.06</v>
      </c>
      <c r="D5" s="6">
        <v>-0.3</v>
      </c>
      <c r="E5" s="6">
        <f>C5-D5-F5-G5</f>
        <v>0.18</v>
      </c>
      <c r="F5" s="6">
        <v>-0.28000000000000003</v>
      </c>
      <c r="G5" s="6">
        <v>0.34</v>
      </c>
      <c r="H5" s="6">
        <v>-0.08</v>
      </c>
      <c r="I5" s="6">
        <f>C5-H5</f>
        <v>2.0000000000000004E-2</v>
      </c>
      <c r="J5" s="6">
        <v>-7.0000000000000007E-2</v>
      </c>
      <c r="K5" s="6">
        <f>C5-J5-L5</f>
        <v>-0.55000000000000004</v>
      </c>
      <c r="L5" s="6">
        <v>0.56000000000000005</v>
      </c>
      <c r="M5" s="6">
        <v>-0.18</v>
      </c>
      <c r="N5" s="6">
        <f>C5-M5</f>
        <v>0.12</v>
      </c>
      <c r="O5" s="6">
        <v>0.09</v>
      </c>
      <c r="P5" s="6">
        <f>C5-O5</f>
        <v>-0.15</v>
      </c>
      <c r="Q5" s="6">
        <v>0.3</v>
      </c>
      <c r="R5" s="6">
        <f>C5-Q5</f>
        <v>-0.36</v>
      </c>
      <c r="S5" s="6">
        <v>0.19</v>
      </c>
      <c r="T5" s="6">
        <f>C5-S5</f>
        <v>-0.25</v>
      </c>
      <c r="U5" s="6">
        <v>-0.1</v>
      </c>
      <c r="V5" s="6">
        <f>C5-U5</f>
        <v>4.0000000000000008E-2</v>
      </c>
      <c r="W5" s="6">
        <v>0.22</v>
      </c>
      <c r="X5" s="6">
        <f>C5-W5-Y5</f>
        <v>-0.16000000000000003</v>
      </c>
      <c r="Y5" s="6">
        <v>-0.12</v>
      </c>
      <c r="Z5" s="6">
        <v>0.01</v>
      </c>
      <c r="AA5" s="6">
        <f>C5-Z5</f>
        <v>-6.9999999999999993E-2</v>
      </c>
    </row>
    <row r="6" spans="1:27" x14ac:dyDescent="0.3">
      <c r="A6" s="1">
        <v>4</v>
      </c>
      <c r="B6" s="2" t="s">
        <v>52</v>
      </c>
      <c r="C6" s="6">
        <v>1.93</v>
      </c>
      <c r="D6" s="6">
        <v>-0.41</v>
      </c>
      <c r="E6" s="6">
        <f>C6-D6-F6-G6</f>
        <v>2.7499999999999996</v>
      </c>
      <c r="F6" s="6">
        <v>-0.51</v>
      </c>
      <c r="G6" s="6">
        <v>0.1</v>
      </c>
      <c r="H6" s="6">
        <v>-0.34</v>
      </c>
      <c r="I6" s="6">
        <f>C6-H6</f>
        <v>2.27</v>
      </c>
      <c r="J6" s="6">
        <v>-0.63</v>
      </c>
      <c r="K6" s="6">
        <f>C6-J6-L6</f>
        <v>2.2400000000000002</v>
      </c>
      <c r="L6" s="6">
        <v>0.32</v>
      </c>
      <c r="M6" s="6">
        <v>0.05</v>
      </c>
      <c r="N6" s="6">
        <f>C6-M6</f>
        <v>1.88</v>
      </c>
      <c r="O6" s="6">
        <v>0.22</v>
      </c>
      <c r="P6" s="6">
        <f>C6-O6</f>
        <v>1.71</v>
      </c>
      <c r="Q6" s="6">
        <v>-0.62</v>
      </c>
      <c r="R6" s="6">
        <f>C6-Q6</f>
        <v>2.5499999999999998</v>
      </c>
      <c r="S6" s="6">
        <v>0.1</v>
      </c>
      <c r="T6" s="6">
        <f>C6-S6</f>
        <v>1.8299999999999998</v>
      </c>
      <c r="U6" s="6">
        <v>-0.53</v>
      </c>
      <c r="V6" s="6">
        <f>C6-U6</f>
        <v>2.46</v>
      </c>
      <c r="W6" s="6">
        <v>0.08</v>
      </c>
      <c r="X6" s="6">
        <f>C6-W6-Y6</f>
        <v>1.8099999999999998</v>
      </c>
      <c r="Y6" s="6">
        <v>0.04</v>
      </c>
      <c r="Z6" s="6">
        <v>0.23</v>
      </c>
      <c r="AA6" s="6">
        <f>C6-Z6</f>
        <v>1.7</v>
      </c>
    </row>
    <row r="7" spans="1:27" x14ac:dyDescent="0.3">
      <c r="A7" s="4">
        <v>5</v>
      </c>
      <c r="B7" s="5" t="s">
        <v>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3">
      <c r="A8" s="4">
        <v>6</v>
      </c>
      <c r="B8" s="5" t="s">
        <v>54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28.8" x14ac:dyDescent="0.3">
      <c r="A9" s="1">
        <v>7</v>
      </c>
      <c r="B9" s="2" t="s">
        <v>55</v>
      </c>
      <c r="C9" s="6">
        <v>2.17</v>
      </c>
      <c r="D9" s="6">
        <v>0.75</v>
      </c>
      <c r="E9" s="6">
        <f>C9-D9-F9-G9</f>
        <v>1.3099999999999998</v>
      </c>
      <c r="F9" s="6">
        <v>0.52</v>
      </c>
      <c r="G9" s="6">
        <v>-0.41</v>
      </c>
      <c r="H9" s="6">
        <v>0.34</v>
      </c>
      <c r="I9" s="6">
        <f>C9-H9</f>
        <v>1.8299999999999998</v>
      </c>
      <c r="J9" s="6">
        <v>-0.37</v>
      </c>
      <c r="K9" s="6">
        <f>C9-J9-L9</f>
        <v>3.27</v>
      </c>
      <c r="L9" s="6">
        <v>-0.73</v>
      </c>
      <c r="M9" s="6">
        <v>0.54</v>
      </c>
      <c r="N9" s="6">
        <f>C9-M9</f>
        <v>1.63</v>
      </c>
      <c r="O9" s="6">
        <v>-0.15</v>
      </c>
      <c r="P9" s="6">
        <f>C9-O9</f>
        <v>2.3199999999999998</v>
      </c>
      <c r="Q9" s="6">
        <v>0.72</v>
      </c>
      <c r="R9" s="6">
        <f>C9-Q9</f>
        <v>1.45</v>
      </c>
      <c r="S9" s="6">
        <v>-0.12</v>
      </c>
      <c r="T9" s="6">
        <f>C9-S9</f>
        <v>2.29</v>
      </c>
      <c r="U9" s="6">
        <v>7.0000000000000007E-2</v>
      </c>
      <c r="V9" s="6">
        <f>C9-U9</f>
        <v>2.1</v>
      </c>
      <c r="W9" s="6">
        <v>0.04</v>
      </c>
      <c r="X9" s="6">
        <f>C9-W9-Y9</f>
        <v>2.29</v>
      </c>
      <c r="Y9" s="6">
        <v>-0.16</v>
      </c>
      <c r="Z9" s="6">
        <v>0.36</v>
      </c>
      <c r="AA9" s="6">
        <f>C9-Z9</f>
        <v>1.81</v>
      </c>
    </row>
    <row r="10" spans="1:27" ht="28.8" x14ac:dyDescent="0.3">
      <c r="A10" s="4">
        <v>8</v>
      </c>
      <c r="B10" s="5" t="s">
        <v>56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28.8" x14ac:dyDescent="0.3">
      <c r="A11" s="4">
        <v>9</v>
      </c>
      <c r="B11" s="5" t="s">
        <v>57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21" sqref="C21"/>
    </sheetView>
  </sheetViews>
  <sheetFormatPr defaultRowHeight="14.4" x14ac:dyDescent="0.3"/>
  <cols>
    <col min="2" max="2" width="12" style="2" customWidth="1"/>
    <col min="3" max="7" width="8.44140625" customWidth="1"/>
    <col min="9" max="9" width="7.5546875" customWidth="1"/>
  </cols>
  <sheetData>
    <row r="1" spans="1:28" s="2" customFormat="1" ht="57.6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59</v>
      </c>
      <c r="R1" s="3" t="s">
        <v>61</v>
      </c>
      <c r="S1" s="3" t="s">
        <v>60</v>
      </c>
      <c r="T1" s="3" t="s">
        <v>66</v>
      </c>
      <c r="U1" s="3" t="s">
        <v>67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  <c r="AA1" s="3" t="s">
        <v>73</v>
      </c>
    </row>
    <row r="2" spans="1:28" s="6" customFormat="1" ht="28.8" x14ac:dyDescent="0.3">
      <c r="A2" s="7">
        <v>0</v>
      </c>
      <c r="B2" s="8" t="s">
        <v>58</v>
      </c>
      <c r="C2" s="6">
        <v>-0.24</v>
      </c>
      <c r="D2" s="6">
        <v>0.13</v>
      </c>
      <c r="E2" s="6">
        <f>C2-D2-F2-G2</f>
        <v>-0.16000000000000003</v>
      </c>
      <c r="F2" s="6">
        <v>0.15</v>
      </c>
      <c r="G2" s="6">
        <v>-0.36</v>
      </c>
      <c r="H2" s="6">
        <v>0.19</v>
      </c>
      <c r="I2" s="6">
        <f>C2-H2</f>
        <v>-0.43</v>
      </c>
      <c r="J2" s="6">
        <v>-0.84</v>
      </c>
      <c r="K2" s="6">
        <f>C2-J2-L2</f>
        <v>-0.43000000000000005</v>
      </c>
      <c r="L2" s="6">
        <v>1.03</v>
      </c>
      <c r="M2" s="6">
        <v>-0.08</v>
      </c>
      <c r="N2" s="6">
        <f>C2-M2</f>
        <v>-0.15999999999999998</v>
      </c>
      <c r="O2" s="6">
        <v>0.1</v>
      </c>
      <c r="P2" s="6">
        <f>C2-O2</f>
        <v>-0.33999999999999997</v>
      </c>
      <c r="Q2" s="6">
        <v>-1.1000000000000001</v>
      </c>
      <c r="R2" s="6">
        <f>C2-Q2</f>
        <v>0.8600000000000001</v>
      </c>
      <c r="S2" s="6">
        <v>0</v>
      </c>
      <c r="T2" s="6">
        <f>C2-S2</f>
        <v>-0.24</v>
      </c>
      <c r="U2" s="6">
        <v>-0.05</v>
      </c>
      <c r="V2" s="6">
        <f>C2-U2</f>
        <v>-0.19</v>
      </c>
      <c r="W2" s="6">
        <v>0.08</v>
      </c>
      <c r="X2" s="6">
        <f>C2-W2-Y2</f>
        <v>-0.22</v>
      </c>
      <c r="Y2" s="6">
        <v>-0.1</v>
      </c>
      <c r="Z2" s="6">
        <v>-1.27</v>
      </c>
      <c r="AA2" s="6">
        <f>C2-Z2</f>
        <v>1.03</v>
      </c>
    </row>
    <row r="3" spans="1:28" ht="43.2" x14ac:dyDescent="0.3">
      <c r="A3" s="4">
        <v>1</v>
      </c>
      <c r="B3" s="5" t="s">
        <v>49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8.8" x14ac:dyDescent="0.3">
      <c r="A4" s="4">
        <v>2</v>
      </c>
      <c r="B4" s="5" t="s">
        <v>50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3">
      <c r="A5" s="1">
        <v>3</v>
      </c>
      <c r="B5" s="2" t="s">
        <v>51</v>
      </c>
      <c r="C5" s="6">
        <v>0.31</v>
      </c>
      <c r="D5" s="6">
        <v>-0.56000000000000005</v>
      </c>
      <c r="E5" s="6">
        <f>C5-D5-F5-G5</f>
        <v>1.21</v>
      </c>
      <c r="F5" s="6">
        <v>-0.46</v>
      </c>
      <c r="G5" s="6">
        <v>0.12</v>
      </c>
      <c r="H5" s="6">
        <v>-0.15</v>
      </c>
      <c r="I5" s="6">
        <f>C5-H5</f>
        <v>0.45999999999999996</v>
      </c>
      <c r="J5" s="6">
        <v>-0.48</v>
      </c>
      <c r="K5" s="6">
        <f>C5-J5-L5</f>
        <v>0.52</v>
      </c>
      <c r="L5" s="6">
        <v>0.27</v>
      </c>
      <c r="M5" s="6">
        <v>0.26</v>
      </c>
      <c r="N5" s="6">
        <f>C5-M5</f>
        <v>4.9999999999999989E-2</v>
      </c>
      <c r="O5" s="6">
        <v>0.28999999999999998</v>
      </c>
      <c r="P5" s="6">
        <f>C5-O5</f>
        <v>2.0000000000000018E-2</v>
      </c>
      <c r="Q5" s="6">
        <v>-0.06</v>
      </c>
      <c r="R5" s="6">
        <f>C5-Q5</f>
        <v>0.37</v>
      </c>
      <c r="S5" s="6">
        <v>0.01</v>
      </c>
      <c r="T5" s="6">
        <f>C5-S5</f>
        <v>0.3</v>
      </c>
      <c r="U5" s="6">
        <v>-0.2</v>
      </c>
      <c r="V5" s="6">
        <f>C5-U5</f>
        <v>0.51</v>
      </c>
      <c r="W5" s="6">
        <v>0.23</v>
      </c>
      <c r="X5" s="6">
        <f>C5-W5-Y5</f>
        <v>0.13</v>
      </c>
      <c r="Y5" s="6">
        <v>-0.05</v>
      </c>
      <c r="Z5" s="6">
        <v>-0.03</v>
      </c>
      <c r="AA5" s="6">
        <f>C5-Z5</f>
        <v>0.33999999999999997</v>
      </c>
      <c r="AB5" s="6"/>
    </row>
    <row r="6" spans="1:28" x14ac:dyDescent="0.3">
      <c r="A6" s="4">
        <v>4</v>
      </c>
      <c r="B6" s="5" t="s">
        <v>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3">
      <c r="A7" s="4">
        <v>5</v>
      </c>
      <c r="B7" s="5" t="s">
        <v>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3">
      <c r="A8" s="4">
        <v>6</v>
      </c>
      <c r="B8" s="5" t="s">
        <v>54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28.8" x14ac:dyDescent="0.3">
      <c r="A9" s="1">
        <v>7</v>
      </c>
      <c r="B9" s="2" t="s">
        <v>55</v>
      </c>
      <c r="C9" s="6">
        <v>1.53</v>
      </c>
      <c r="D9" s="6">
        <v>0.65</v>
      </c>
      <c r="E9" s="6">
        <f>C9-D9-F9-G9</f>
        <v>0.95000000000000007</v>
      </c>
      <c r="F9" s="6">
        <v>0.3</v>
      </c>
      <c r="G9" s="6">
        <v>-0.37</v>
      </c>
      <c r="H9" s="6">
        <v>0.42</v>
      </c>
      <c r="I9" s="6">
        <f>C9-H9</f>
        <v>1.1100000000000001</v>
      </c>
      <c r="J9" s="6">
        <v>0.32</v>
      </c>
      <c r="K9" s="6">
        <f>C9-J9-L9</f>
        <v>1.18</v>
      </c>
      <c r="L9" s="6">
        <v>0.03</v>
      </c>
      <c r="M9" s="6">
        <v>0.75</v>
      </c>
      <c r="N9" s="6">
        <f>C9-M9</f>
        <v>0.78</v>
      </c>
      <c r="O9" s="6">
        <v>0.04</v>
      </c>
      <c r="P9" s="6">
        <f>C9-O9</f>
        <v>1.49</v>
      </c>
      <c r="Q9" s="6">
        <v>0.66</v>
      </c>
      <c r="R9" s="6">
        <f>C9-Q9</f>
        <v>0.87</v>
      </c>
      <c r="S9" s="6">
        <v>7.0000000000000007E-2</v>
      </c>
      <c r="T9" s="6">
        <f>C9-S9</f>
        <v>1.46</v>
      </c>
      <c r="U9" s="6">
        <v>-0.13</v>
      </c>
      <c r="V9" s="6">
        <f>C9-U9</f>
        <v>1.6600000000000001</v>
      </c>
      <c r="W9" s="6">
        <v>-0.1</v>
      </c>
      <c r="X9" s="6">
        <f>C9-W9-Y9</f>
        <v>1.75</v>
      </c>
      <c r="Y9" s="6">
        <v>-0.12</v>
      </c>
      <c r="Z9" s="6">
        <v>0.41</v>
      </c>
      <c r="AA9" s="6">
        <f>C9-Z9</f>
        <v>1.1200000000000001</v>
      </c>
      <c r="AB9" s="6"/>
    </row>
    <row r="10" spans="1:28" ht="28.8" x14ac:dyDescent="0.3">
      <c r="A10" s="4">
        <v>8</v>
      </c>
      <c r="B10" s="5" t="s">
        <v>56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28.8" x14ac:dyDescent="0.3">
      <c r="A11" s="4">
        <v>9</v>
      </c>
      <c r="B11" s="5" t="s">
        <v>57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3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3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actions_effects_on_contacts</vt:lpstr>
      <vt:lpstr>actions_effects_on_mh</vt:lpstr>
      <vt:lpstr>lockdown_absent</vt:lpstr>
      <vt:lpstr>lockdown_easy</vt:lpstr>
      <vt:lpstr>lockdown_medium</vt:lpstr>
      <vt:lpstr>lockdown_hard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Pham, Astrid</cp:lastModifiedBy>
  <dcterms:created xsi:type="dcterms:W3CDTF">2023-05-31T16:33:19Z</dcterms:created>
  <dcterms:modified xsi:type="dcterms:W3CDTF">2023-06-19T18:04:20Z</dcterms:modified>
</cp:coreProperties>
</file>